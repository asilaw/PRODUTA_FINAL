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vit\OneDrive\Dokumen\Unilife\IPB\Kelas\Teknik Industri Pertanian\Semester 8\magang\Produta\Flexsim FBMI\ITERASI 2 - DSS SYSTEM\"/>
    </mc:Choice>
  </mc:AlternateContent>
  <xr:revisionPtr revIDLastSave="0" documentId="13_ncr:1_{4BF4331A-1425-4202-A90E-76AB01D2C62F}" xr6:coauthVersionLast="47" xr6:coauthVersionMax="47" xr10:uidLastSave="{00000000-0000-0000-0000-000000000000}"/>
  <bookViews>
    <workbookView xWindow="-110" yWindow="-110" windowWidth="19420" windowHeight="11500" xr2:uid="{577EF10A-FDE6-4618-8FFD-24A1F0350D7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2" i="1"/>
  <c r="H27" i="1" l="1" a="1"/>
  <c r="H27" i="1" s="1"/>
  <c r="H26" i="1" a="1"/>
  <c r="H26" i="1" s="1"/>
  <c r="H29" i="1" a="1"/>
  <c r="H29" i="1" s="1"/>
  <c r="H44" i="1" a="1"/>
  <c r="H44" i="1" s="1"/>
  <c r="H41" i="1" a="1"/>
  <c r="H41" i="1" s="1"/>
  <c r="H43" i="1" a="1"/>
  <c r="H43" i="1" s="1"/>
  <c r="H46" i="1" a="1"/>
  <c r="H46" i="1" s="1"/>
  <c r="H45" i="1" a="1"/>
  <c r="H45" i="1" s="1"/>
  <c r="H48" i="1" a="1"/>
  <c r="H48" i="1" s="1"/>
  <c r="H36" i="1" a="1"/>
  <c r="H36" i="1" s="1"/>
  <c r="H33" i="1" a="1"/>
  <c r="H33" i="1" s="1"/>
  <c r="H32" i="1" a="1"/>
  <c r="H32" i="1" s="1"/>
  <c r="H35" i="1" a="1"/>
  <c r="H35" i="1" s="1"/>
  <c r="H39" i="1" a="1"/>
  <c r="H39" i="1" s="1"/>
  <c r="H31" i="1" a="1"/>
  <c r="H31" i="1" s="1"/>
  <c r="H30" i="1" a="1"/>
  <c r="H30" i="1" s="1"/>
  <c r="H4" i="1" a="1"/>
  <c r="H4" i="1" s="1"/>
  <c r="H23" i="1" a="1"/>
  <c r="H23" i="1" s="1"/>
  <c r="H20" i="1" a="1"/>
  <c r="H20" i="1" s="1"/>
  <c r="H19" i="1" a="1"/>
  <c r="H19" i="1" s="1"/>
  <c r="H8" i="1" a="1"/>
  <c r="H8" i="1" s="1"/>
  <c r="H54" i="1" a="1"/>
  <c r="H54" i="1" s="1"/>
  <c r="H51" i="1" a="1"/>
  <c r="H51" i="1" s="1"/>
  <c r="H58" i="1" a="1"/>
  <c r="H58" i="1" s="1"/>
  <c r="H56" i="1" a="1"/>
  <c r="H56" i="1" s="1"/>
  <c r="H61" i="1" a="1"/>
  <c r="H61" i="1" s="1"/>
  <c r="H60" i="1" a="1"/>
  <c r="H60" i="1" s="1"/>
  <c r="H59" i="1" a="1"/>
  <c r="H59" i="1" s="1"/>
  <c r="H62" i="1" a="1"/>
  <c r="H62" i="1" s="1"/>
  <c r="H63" i="1" a="1"/>
  <c r="H63" i="1" s="1"/>
  <c r="H10" i="1" a="1"/>
  <c r="H10" i="1" s="1"/>
  <c r="H57" i="1" a="1"/>
  <c r="H57" i="1" s="1"/>
  <c r="H55" i="1" a="1"/>
  <c r="H55" i="1" s="1"/>
  <c r="H53" i="1" a="1"/>
  <c r="H53" i="1" s="1"/>
  <c r="H16" i="1" a="1"/>
  <c r="H16" i="1" s="1"/>
  <c r="H14" i="1" a="1"/>
  <c r="H14" i="1" s="1"/>
  <c r="H17" i="1" a="1"/>
  <c r="H17" i="1" s="1"/>
  <c r="H13" i="1" a="1"/>
  <c r="H13" i="1" s="1"/>
  <c r="H11" i="1" a="1"/>
  <c r="H11" i="1" s="1"/>
  <c r="H12" i="1" a="1"/>
  <c r="H12" i="1" s="1"/>
  <c r="H15" i="1" a="1"/>
  <c r="H15" i="1" s="1"/>
  <c r="H52" i="1" a="1"/>
  <c r="H52" i="1" s="1"/>
  <c r="H7" i="1" a="1"/>
  <c r="H7" i="1" s="1"/>
  <c r="H5" i="1" a="1"/>
  <c r="H5" i="1" s="1"/>
  <c r="H47" i="1" a="1"/>
  <c r="H47" i="1" s="1"/>
  <c r="H40" i="1" a="1"/>
  <c r="H40" i="1" s="1"/>
  <c r="H37" i="1" a="1"/>
  <c r="H37" i="1" s="1"/>
  <c r="H42" i="1" a="1"/>
  <c r="H42" i="1" s="1"/>
  <c r="H21" i="1" a="1"/>
  <c r="H21" i="1" s="1"/>
  <c r="H25" i="1" a="1"/>
  <c r="H25" i="1" s="1"/>
  <c r="H18" i="1" a="1"/>
  <c r="H18" i="1" s="1"/>
  <c r="H49" i="1" a="1"/>
  <c r="H49" i="1" s="1"/>
  <c r="H2" i="1" a="1"/>
  <c r="H2" i="1" s="1"/>
  <c r="H3" i="1" a="1"/>
  <c r="H3" i="1" s="1"/>
  <c r="H9" i="1" a="1"/>
  <c r="H9" i="1" s="1"/>
  <c r="H28" i="1" a="1"/>
  <c r="H28" i="1" s="1"/>
  <c r="H24" i="1" a="1"/>
  <c r="H24" i="1" s="1"/>
  <c r="H22" i="1" a="1"/>
  <c r="H22" i="1" s="1"/>
  <c r="H50" i="1" a="1"/>
  <c r="H50" i="1" s="1"/>
  <c r="H38" i="1" a="1"/>
  <c r="H38" i="1" s="1"/>
  <c r="H34" i="1" a="1"/>
  <c r="H34" i="1" s="1"/>
  <c r="H6" i="1" a="1"/>
  <c r="H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<sst xmlns="http://schemas.openxmlformats.org/spreadsheetml/2006/main" count="257" uniqueCount="139">
  <si>
    <t>ItemName</t>
  </si>
  <si>
    <t>SkuId</t>
  </si>
  <si>
    <t>SkuGr</t>
  </si>
  <si>
    <t>SpeedD</t>
  </si>
  <si>
    <t>Speed</t>
  </si>
  <si>
    <t>IsChocolate</t>
  </si>
  <si>
    <t>port_type</t>
  </si>
  <si>
    <t>ANLENE ACTIFIT CHOCOLATE 120x25 GR</t>
  </si>
  <si>
    <t>AAC25SAC</t>
  </si>
  <si>
    <t>coklat</t>
  </si>
  <si>
    <t>SSS</t>
  </si>
  <si>
    <t>ANLENE ACTIFIT PLAIN 24X240 GR</t>
  </si>
  <si>
    <t>AAP250</t>
  </si>
  <si>
    <t>non-coklat</t>
  </si>
  <si>
    <t>BIB KECIL</t>
  </si>
  <si>
    <t>ANLENE ACTIFIT PLAIN 12X600 GR</t>
  </si>
  <si>
    <t>AAP600</t>
  </si>
  <si>
    <t>BIB SEDANG</t>
  </si>
  <si>
    <t>ANLENE ACTIFIT VANILLA 24X240 GR</t>
  </si>
  <si>
    <t>AAV250</t>
  </si>
  <si>
    <t>ANLENE GOLD PLAIN 24X240 GR</t>
  </si>
  <si>
    <t>AGP250</t>
  </si>
  <si>
    <t>ANLENE GOLD PLAIN 12X620 GR</t>
  </si>
  <si>
    <t>AGP620</t>
  </si>
  <si>
    <t>ANLENE GOLD PLAIN 12X885 GR</t>
  </si>
  <si>
    <t>AGP900</t>
  </si>
  <si>
    <t>BIB BESAR</t>
  </si>
  <si>
    <t>ANLENE GOLD VANILLA 12X620 GR</t>
  </si>
  <si>
    <t>AGV620</t>
  </si>
  <si>
    <t>ANLENE GOLD VANILLA 12X600 GR</t>
  </si>
  <si>
    <t>AGV600</t>
  </si>
  <si>
    <t>ANLENE GOLD VANILLA 12X885 GR</t>
  </si>
  <si>
    <t>AGV900</t>
  </si>
  <si>
    <t>ANLENE GOLD CHOCOLATE 24x170 GR</t>
  </si>
  <si>
    <t>AGC175</t>
  </si>
  <si>
    <t>ANLENE GOLD CHOCOLATE 12X620 GR</t>
  </si>
  <si>
    <t>AGC620</t>
  </si>
  <si>
    <t>ANLENE GOLD CHOCOLATE 12X600 GR</t>
  </si>
  <si>
    <t>AGC600</t>
  </si>
  <si>
    <t>ANLENE GOLD CHOCOLATE 12X885 GR</t>
  </si>
  <si>
    <t>AGC900</t>
  </si>
  <si>
    <t>ANLENE GOLD HABBATUSSAUDA 24x160 GR</t>
  </si>
  <si>
    <t>AGH175</t>
  </si>
  <si>
    <t>ANLENE COMPLETE VANILLA 24X400 GR</t>
  </si>
  <si>
    <t>ACV400</t>
  </si>
  <si>
    <t>ANLENE COMPLETE VANILLA 12X800 GR</t>
  </si>
  <si>
    <t>ACV800</t>
  </si>
  <si>
    <t>ANCHOR BONEETO CHOCOLATE 120x25 GR</t>
  </si>
  <si>
    <t>ABC25SAC</t>
  </si>
  <si>
    <t>ANCHOR BONEETO VANILLA 24X350 GR</t>
  </si>
  <si>
    <t>ABV350</t>
  </si>
  <si>
    <t>ANCHOR BONEETO CHOCOLATE 24X350 GR</t>
  </si>
  <si>
    <t>ABC350</t>
  </si>
  <si>
    <t>ANCHOR BONEETO CHOCOLATE 24X320 GR</t>
  </si>
  <si>
    <t>ABC325</t>
  </si>
  <si>
    <t>ANLENE GOLD HERBAL SSS 120x25 GR</t>
  </si>
  <si>
    <t>NPD0001</t>
  </si>
  <si>
    <t>ANMUM MATERNA CHOCO 2X46GR</t>
  </si>
  <si>
    <t>AMC46</t>
  </si>
  <si>
    <t>ANM MATNA MP SBRY 48X86G BTN</t>
  </si>
  <si>
    <t>AMS43</t>
  </si>
  <si>
    <t>ANMUM MATERNA CHOCOLATE 24X200 GR</t>
  </si>
  <si>
    <t>AMC200</t>
  </si>
  <si>
    <t>ANMUM MATERNA CHOCOLATE 12X400 GR</t>
  </si>
  <si>
    <t>AMC400</t>
  </si>
  <si>
    <t>ANMUM MATERNA STRAWBERRY. 200GR</t>
  </si>
  <si>
    <t>AMS200</t>
  </si>
  <si>
    <t>ANMUM MATERNA STRAWBERRY 12X400 GR</t>
  </si>
  <si>
    <t>AMS400</t>
  </si>
  <si>
    <t>ANMUM Materna Emesa 200g</t>
  </si>
  <si>
    <t>AEC200</t>
  </si>
  <si>
    <t>ANMUM Materna Vanilla 200g</t>
  </si>
  <si>
    <t>AMV200</t>
  </si>
  <si>
    <t>ANMUM Materna Vanilla 400g</t>
  </si>
  <si>
    <t>AMV400</t>
  </si>
  <si>
    <t>ANM MATNA MP CHOC 75X30G LITE</t>
  </si>
  <si>
    <t>AMLC30</t>
  </si>
  <si>
    <t>ANMUM MATERNA CHOCOLATE 24X180 GR</t>
  </si>
  <si>
    <t>AMLC180</t>
  </si>
  <si>
    <t>ANMUM MATERNA CHOCOLATE 12X360 GR</t>
  </si>
  <si>
    <t>AMLC360</t>
  </si>
  <si>
    <t>ANMUM LACTA CHOCOLATE 24X200 GR</t>
  </si>
  <si>
    <t>ALC200</t>
  </si>
  <si>
    <t>ANC FD PROF MP PLAIN 1KG OASIS OASIS</t>
  </si>
  <si>
    <t>AFM1000</t>
  </si>
  <si>
    <t>ANC BKRMX MLK 9X500G LOKI</t>
  </si>
  <si>
    <t>BKM500</t>
  </si>
  <si>
    <t>ANC NW MP 9X1KG</t>
  </si>
  <si>
    <t>NTW1000</t>
  </si>
  <si>
    <t>ANC AFP SSERVE VAN 9X1KG</t>
  </si>
  <si>
    <t>SSV1000</t>
  </si>
  <si>
    <t>ANC AFP SSERVE CHOC 9X1KG</t>
  </si>
  <si>
    <t>SSC1000</t>
  </si>
  <si>
    <t>ANC AFP SSERVE DAIRY 9X1KG</t>
  </si>
  <si>
    <t>SSD1000</t>
  </si>
  <si>
    <t>ANC DBPDR CRMY 9X1KG</t>
  </si>
  <si>
    <t>MRTWMPR1KG</t>
  </si>
  <si>
    <t>ANMUM LACTA CHOCOLATE 12X400 GR</t>
  </si>
  <si>
    <t>ALC400</t>
  </si>
  <si>
    <t>ANLENE GOLD CHOCOLATE 120x25GR</t>
  </si>
  <si>
    <t>AGC25SAC</t>
  </si>
  <si>
    <t>ANCHOR BONEETO VANILLA 120x25 GR</t>
  </si>
  <si>
    <t>ABV25SAC</t>
  </si>
  <si>
    <t>ANLENE GOLD VANILLA 12X850 GR</t>
  </si>
  <si>
    <t>AGV850</t>
  </si>
  <si>
    <t>ANLENE GOLD PLAIN 12X600 GR</t>
  </si>
  <si>
    <t>AGP600</t>
  </si>
  <si>
    <t>ANLENE GOLD CHOCOLATE 24X240 GR</t>
  </si>
  <si>
    <t>AGC250</t>
  </si>
  <si>
    <t>ANLENE GOLD PLAIN 12X850 GR</t>
  </si>
  <si>
    <t>AGP850</t>
  </si>
  <si>
    <t>ANCHOR BONEETO VANILLA 12X685 GR</t>
  </si>
  <si>
    <t>ABV700</t>
  </si>
  <si>
    <t>ANLENE ACTIFIT CHOCOLATE 24X240 GR</t>
  </si>
  <si>
    <t>AAC250</t>
  </si>
  <si>
    <t>ANCHOR BONEETO CHOCOLATE 12X685 GR</t>
  </si>
  <si>
    <t>ABC700</t>
  </si>
  <si>
    <t>ANLENE GOLD VANILLA 24x170 GR</t>
  </si>
  <si>
    <t>AGV175</t>
  </si>
  <si>
    <t>ANLENE ACTIFIT CHOCOLATE 120x22 GR</t>
  </si>
  <si>
    <t>AAC20SAC</t>
  </si>
  <si>
    <t>ANLENE ACTIFIT VANILLA 120x20 GR</t>
  </si>
  <si>
    <t>AAV20SAC</t>
  </si>
  <si>
    <t>ANLENE GOLD VANILLA 120x25 GR</t>
  </si>
  <si>
    <t>AGV25SAC</t>
  </si>
  <si>
    <t>ANLENE ACTIFIT VANILLA 12X600 GR</t>
  </si>
  <si>
    <t>AAV600</t>
  </si>
  <si>
    <t>ANLENE ACTIFIT CHOCOLATE 12X600 GR</t>
  </si>
  <si>
    <t>AAC600</t>
  </si>
  <si>
    <t>ANCHOR BONEETO VANILLA 24X320 GR</t>
  </si>
  <si>
    <t>ABV325</t>
  </si>
  <si>
    <t>ANLENE GOLD VANILLA 24X240 GR</t>
  </si>
  <si>
    <t>AGV250</t>
  </si>
  <si>
    <t>ANLENE GOLD HABBATUSSAUDA 12x600 GR</t>
  </si>
  <si>
    <t>AGH600</t>
  </si>
  <si>
    <t>ANLENE GOLD CHOCOLATE 12X850 GR</t>
  </si>
  <si>
    <t>AGC850</t>
  </si>
  <si>
    <t>Allergen</t>
  </si>
  <si>
    <t>ShelfLife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</si>
</sst>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5BBB5C6C-2FC0-44D8-B03D-58CCC0A3F7C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557815-AF94-4CD0-AA22-2878CDB2987A}" name="Tabel1" displayName="Tabel1" ref="A1:I63" totalsRowShown="0" headerRowDxfId="2" headerRowBorderDxfId="1" tableBorderDxfId="0">
  <autoFilter ref="A1:I63" xr:uid="{56557815-AF94-4CD0-AA22-2878CDB2987A}"/>
  <tableColumns count="9">
    <tableColumn id="1" xr3:uid="{A969A195-E989-429F-847C-A95F2EB3F095}" name="ItemName"/>
    <tableColumn id="3" xr3:uid="{476071CD-277C-4831-8D73-086697571F41}" name="SkuId"/>
    <tableColumn id="5" xr3:uid="{527308EC-5A1D-48E1-B5E6-87BD0434992C}" name="SkuGr"/>
    <tableColumn id="6" xr3:uid="{ED611E22-800A-42E1-8F51-E1D05A5FA314}" name="SpeedD"/>
    <tableColumn id="7" xr3:uid="{004D7796-949E-435D-ABC3-4FEFE91F9219}" name="Speed"/>
    <tableColumn id="8" xr3:uid="{16A5107C-0C9D-4E5B-A2DD-029DA7753B8E}" name="IsChocolate"/>
    <tableColumn id="9" xr3:uid="{EE030A39-C451-4409-90BE-13126E2E606E}" name="port_type"/>
    <tableColumn id="10" xr3:uid="{2620E6CA-E16B-4C48-90E9-828844CEF359}" name="Allergen">
      <calculatedColumnFormula array="1">_xlfn.IFS(ISNUMBER(SEARCH("ANM", Tabel1[[#This Row],[ItemName]])), 1, ISNUMBER(SEARCH("gold", Tabel1[[#This Row],[ItemName]])), 2, ISNUMBER(SEARCH("act", Tabel1[[#This Row],[ItemName]])), 3, ISNUMBER(SEARCH("boneeto", Tabel1[[#This Row],[ItemName]])), 4, TRUE, 1)</calculatedColumnFormula>
    </tableColumn>
    <tableColumn id="11" xr3:uid="{D8800FC1-3128-441E-A537-87F3D2AFFC46}" name="ShelfLife">
      <calculatedColumnFormula>IF(ISNUMBER(SEARCH("SSS",Tabel1[[#This Row],[port_type]])),"15","18")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50ED-5731-48C6-A889-A007053A6F7B}">
  <dimension ref="A1:I63"/>
  <sheetViews>
    <sheetView tabSelected="1" workbookViewId="0">
      <selection activeCell="A4" sqref="A4"/>
    </sheetView>
  </sheetViews>
  <sheetFormatPr defaultRowHeight="14.5" x14ac:dyDescent="0.35"/>
  <cols>
    <col min="1" max="1" width="46.36328125" customWidth="1"/>
    <col min="2" max="2" width="25.7265625" customWidth="1"/>
    <col min="3" max="3" width="20.453125" customWidth="1"/>
    <col min="4" max="4" width="13.08984375" customWidth="1"/>
    <col min="6" max="6" width="9.1796875" customWidth="1"/>
    <col min="8" max="8" width="12.54296875" customWidth="1"/>
    <col min="9" max="9" width="11.1796875" customWidth="1"/>
    <col min="10" max="10" width="19.7265625" customWidth="1"/>
    <col min="11" max="11" width="14.08984375" customWidth="1"/>
    <col min="12" max="12" width="16.3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137</v>
      </c>
      <c r="I1" s="1" t="s">
        <v>138</v>
      </c>
    </row>
    <row r="2" spans="1:9" x14ac:dyDescent="0.35">
      <c r="A2" t="s">
        <v>119</v>
      </c>
      <c r="B2" t="s">
        <v>120</v>
      </c>
      <c r="C2">
        <v>22</v>
      </c>
      <c r="D2">
        <v>300</v>
      </c>
      <c r="E2">
        <v>85</v>
      </c>
      <c r="F2" t="s">
        <v>9</v>
      </c>
      <c r="G2" t="s">
        <v>10</v>
      </c>
      <c r="H2" cm="1">
        <f t="array" ref="H2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3</v>
      </c>
      <c r="I2" t="str">
        <f>IF(ISNUMBER(SEARCH("SSS",Tabel1[[#This Row],[port_type]])),"15","18")</f>
        <v>15</v>
      </c>
    </row>
    <row r="3" spans="1:9" x14ac:dyDescent="0.35">
      <c r="A3" t="s">
        <v>121</v>
      </c>
      <c r="B3" t="s">
        <v>122</v>
      </c>
      <c r="C3">
        <v>20</v>
      </c>
      <c r="D3">
        <v>300</v>
      </c>
      <c r="E3">
        <v>85</v>
      </c>
      <c r="F3" t="s">
        <v>13</v>
      </c>
      <c r="G3" t="s">
        <v>10</v>
      </c>
      <c r="H3" cm="1">
        <f t="array" ref="H3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3</v>
      </c>
      <c r="I3" t="str">
        <f>IF(ISNUMBER(SEARCH("SSS",Tabel1[[#This Row],[port_type]])),"15","18")</f>
        <v>15</v>
      </c>
    </row>
    <row r="4" spans="1:9" x14ac:dyDescent="0.35">
      <c r="A4" t="s">
        <v>47</v>
      </c>
      <c r="B4" t="s">
        <v>48</v>
      </c>
      <c r="C4">
        <v>25</v>
      </c>
      <c r="D4">
        <v>282</v>
      </c>
      <c r="E4">
        <v>85</v>
      </c>
      <c r="F4" t="s">
        <v>9</v>
      </c>
      <c r="G4" t="s">
        <v>10</v>
      </c>
      <c r="H4" cm="1">
        <f t="array" ref="H4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4</v>
      </c>
      <c r="I4" t="str">
        <f>IF(ISNUMBER(SEARCH("SSS",Tabel1[[#This Row],[port_type]])),"15","18")</f>
        <v>15</v>
      </c>
    </row>
    <row r="5" spans="1:9" x14ac:dyDescent="0.35">
      <c r="A5" t="s">
        <v>101</v>
      </c>
      <c r="B5" t="s">
        <v>102</v>
      </c>
      <c r="C5">
        <v>25</v>
      </c>
      <c r="D5">
        <v>282</v>
      </c>
      <c r="E5">
        <v>85</v>
      </c>
      <c r="F5" t="s">
        <v>13</v>
      </c>
      <c r="G5" t="s">
        <v>10</v>
      </c>
      <c r="H5" cm="1">
        <f t="array" ref="H5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4</v>
      </c>
      <c r="I5" t="str">
        <f>IF(ISNUMBER(SEARCH("SSS",Tabel1[[#This Row],[port_type]])),"15","18")</f>
        <v>15</v>
      </c>
    </row>
    <row r="6" spans="1:9" x14ac:dyDescent="0.35">
      <c r="A6" t="s">
        <v>7</v>
      </c>
      <c r="B6" t="s">
        <v>8</v>
      </c>
      <c r="C6">
        <v>25</v>
      </c>
      <c r="D6">
        <v>282</v>
      </c>
      <c r="E6">
        <v>85</v>
      </c>
      <c r="F6" t="s">
        <v>9</v>
      </c>
      <c r="G6" t="s">
        <v>10</v>
      </c>
      <c r="H6" cm="1">
        <f t="array" ref="H6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3</v>
      </c>
      <c r="I6" t="str">
        <f>IF(ISNUMBER(SEARCH("SSS",Tabel1[[#This Row],[port_type]])),"15","18")</f>
        <v>15</v>
      </c>
    </row>
    <row r="7" spans="1:9" x14ac:dyDescent="0.35">
      <c r="A7" t="s">
        <v>99</v>
      </c>
      <c r="B7" t="s">
        <v>100</v>
      </c>
      <c r="C7">
        <v>25</v>
      </c>
      <c r="D7">
        <v>282</v>
      </c>
      <c r="E7">
        <v>85</v>
      </c>
      <c r="F7" t="s">
        <v>9</v>
      </c>
      <c r="G7" t="s">
        <v>10</v>
      </c>
      <c r="H7" cm="1">
        <f t="array" ref="H7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7" t="str">
        <f>IF(ISNUMBER(SEARCH("SSS",Tabel1[[#This Row],[port_type]])),"15","18")</f>
        <v>15</v>
      </c>
    </row>
    <row r="8" spans="1:9" x14ac:dyDescent="0.35">
      <c r="A8" t="s">
        <v>55</v>
      </c>
      <c r="B8" t="s">
        <v>56</v>
      </c>
      <c r="C8">
        <v>25</v>
      </c>
      <c r="D8">
        <v>282</v>
      </c>
      <c r="E8">
        <v>85</v>
      </c>
      <c r="F8" t="s">
        <v>13</v>
      </c>
      <c r="G8" t="s">
        <v>10</v>
      </c>
      <c r="H8" cm="1">
        <f t="array" ref="H8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8" t="str">
        <f>IF(ISNUMBER(SEARCH("SSS",Tabel1[[#This Row],[port_type]])),"15","18")</f>
        <v>15</v>
      </c>
    </row>
    <row r="9" spans="1:9" x14ac:dyDescent="0.35">
      <c r="A9" t="s">
        <v>123</v>
      </c>
      <c r="B9" t="s">
        <v>124</v>
      </c>
      <c r="C9">
        <v>25</v>
      </c>
      <c r="D9">
        <v>282</v>
      </c>
      <c r="E9">
        <v>85</v>
      </c>
      <c r="F9" t="s">
        <v>13</v>
      </c>
      <c r="G9" t="s">
        <v>10</v>
      </c>
      <c r="H9" cm="1">
        <f t="array" ref="H9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9" t="str">
        <f>IF(ISNUMBER(SEARCH("SSS",Tabel1[[#This Row],[port_type]])),"15","18")</f>
        <v>15</v>
      </c>
    </row>
    <row r="10" spans="1:9" x14ac:dyDescent="0.35">
      <c r="A10" t="s">
        <v>75</v>
      </c>
      <c r="B10" t="s">
        <v>76</v>
      </c>
      <c r="C10">
        <v>30</v>
      </c>
      <c r="D10">
        <v>252</v>
      </c>
      <c r="E10">
        <v>85</v>
      </c>
      <c r="F10" t="s">
        <v>9</v>
      </c>
      <c r="G10" t="s">
        <v>10</v>
      </c>
      <c r="H10" cm="1">
        <f t="array" ref="H10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10" t="str">
        <f>IF(ISNUMBER(SEARCH("SSS",Tabel1[[#This Row],[port_type]])),"15","18")</f>
        <v>15</v>
      </c>
    </row>
    <row r="11" spans="1:9" x14ac:dyDescent="0.35">
      <c r="A11" t="s">
        <v>91</v>
      </c>
      <c r="B11" t="s">
        <v>92</v>
      </c>
      <c r="C11">
        <v>1000</v>
      </c>
      <c r="D11">
        <v>0</v>
      </c>
      <c r="E11">
        <v>35</v>
      </c>
      <c r="F11" t="s">
        <v>9</v>
      </c>
      <c r="G11" t="s">
        <v>26</v>
      </c>
      <c r="H11" cm="1">
        <f t="array" ref="H11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11" t="str">
        <f>IF(ISNUMBER(SEARCH("SSS",Tabel1[[#This Row],[port_type]])),"15","18")</f>
        <v>18</v>
      </c>
    </row>
    <row r="12" spans="1:9" x14ac:dyDescent="0.35">
      <c r="A12" t="s">
        <v>93</v>
      </c>
      <c r="B12" t="s">
        <v>94</v>
      </c>
      <c r="C12">
        <v>1000</v>
      </c>
      <c r="D12">
        <v>0</v>
      </c>
      <c r="E12">
        <v>35</v>
      </c>
      <c r="F12" t="s">
        <v>13</v>
      </c>
      <c r="G12" t="s">
        <v>26</v>
      </c>
      <c r="H12" cm="1">
        <f t="array" ref="H12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12" t="str">
        <f>IF(ISNUMBER(SEARCH("SSS",Tabel1[[#This Row],[port_type]])),"15","18")</f>
        <v>18</v>
      </c>
    </row>
    <row r="13" spans="1:9" x14ac:dyDescent="0.35">
      <c r="A13" t="s">
        <v>89</v>
      </c>
      <c r="B13" t="s">
        <v>90</v>
      </c>
      <c r="C13">
        <v>1000</v>
      </c>
      <c r="D13">
        <v>0</v>
      </c>
      <c r="E13">
        <v>35</v>
      </c>
      <c r="F13" t="s">
        <v>13</v>
      </c>
      <c r="G13" t="s">
        <v>26</v>
      </c>
      <c r="H13" cm="1">
        <f t="array" ref="H13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13" t="str">
        <f>IF(ISNUMBER(SEARCH("SSS",Tabel1[[#This Row],[port_type]])),"15","18")</f>
        <v>18</v>
      </c>
    </row>
    <row r="14" spans="1:9" x14ac:dyDescent="0.35">
      <c r="A14" t="s">
        <v>85</v>
      </c>
      <c r="B14" t="s">
        <v>86</v>
      </c>
      <c r="C14">
        <v>500</v>
      </c>
      <c r="D14">
        <v>0</v>
      </c>
      <c r="E14">
        <v>45</v>
      </c>
      <c r="F14" t="s">
        <v>13</v>
      </c>
      <c r="G14" t="s">
        <v>17</v>
      </c>
      <c r="H14" cm="1">
        <f t="array" ref="H14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14" t="str">
        <f>IF(ISNUMBER(SEARCH("SSS",Tabel1[[#This Row],[port_type]])),"15","18")</f>
        <v>18</v>
      </c>
    </row>
    <row r="15" spans="1:9" x14ac:dyDescent="0.35">
      <c r="A15" t="s">
        <v>95</v>
      </c>
      <c r="B15" t="s">
        <v>96</v>
      </c>
      <c r="C15">
        <v>1000</v>
      </c>
      <c r="D15">
        <v>0</v>
      </c>
      <c r="E15">
        <v>35</v>
      </c>
      <c r="F15" t="s">
        <v>13</v>
      </c>
      <c r="G15" t="s">
        <v>26</v>
      </c>
      <c r="H15" cm="1">
        <f t="array" ref="H15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15" t="str">
        <f>IF(ISNUMBER(SEARCH("SSS",Tabel1[[#This Row],[port_type]])),"15","18")</f>
        <v>18</v>
      </c>
    </row>
    <row r="16" spans="1:9" x14ac:dyDescent="0.35">
      <c r="A16" t="s">
        <v>83</v>
      </c>
      <c r="B16" t="s">
        <v>84</v>
      </c>
      <c r="C16">
        <v>1000</v>
      </c>
      <c r="D16">
        <v>0</v>
      </c>
      <c r="E16">
        <v>35</v>
      </c>
      <c r="F16" t="s">
        <v>13</v>
      </c>
      <c r="G16" t="s">
        <v>26</v>
      </c>
      <c r="H16" cm="1">
        <f t="array" ref="H16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16" t="str">
        <f>IF(ISNUMBER(SEARCH("SSS",Tabel1[[#This Row],[port_type]])),"15","18")</f>
        <v>18</v>
      </c>
    </row>
    <row r="17" spans="1:9" x14ac:dyDescent="0.35">
      <c r="A17" t="s">
        <v>87</v>
      </c>
      <c r="B17" t="s">
        <v>88</v>
      </c>
      <c r="C17">
        <v>1000</v>
      </c>
      <c r="D17">
        <v>0</v>
      </c>
      <c r="E17">
        <v>35</v>
      </c>
      <c r="F17" t="s">
        <v>13</v>
      </c>
      <c r="G17" t="s">
        <v>26</v>
      </c>
      <c r="H17" cm="1">
        <f t="array" ref="H17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17" t="str">
        <f>IF(ISNUMBER(SEARCH("SSS",Tabel1[[#This Row],[port_type]])),"15","18")</f>
        <v>18</v>
      </c>
    </row>
    <row r="18" spans="1:9" x14ac:dyDescent="0.35">
      <c r="A18" t="s">
        <v>115</v>
      </c>
      <c r="B18" t="s">
        <v>116</v>
      </c>
      <c r="C18">
        <v>700</v>
      </c>
      <c r="D18">
        <v>0</v>
      </c>
      <c r="E18">
        <v>42</v>
      </c>
      <c r="F18" t="s">
        <v>9</v>
      </c>
      <c r="G18" t="s">
        <v>17</v>
      </c>
      <c r="H18" cm="1">
        <f t="array" ref="H18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4</v>
      </c>
      <c r="I18" t="str">
        <f>IF(ISNUMBER(SEARCH("SSS",Tabel1[[#This Row],[port_type]])),"15","18")</f>
        <v>18</v>
      </c>
    </row>
    <row r="19" spans="1:9" x14ac:dyDescent="0.35">
      <c r="A19" t="s">
        <v>53</v>
      </c>
      <c r="B19" t="s">
        <v>54</v>
      </c>
      <c r="C19">
        <v>325</v>
      </c>
      <c r="D19">
        <v>0</v>
      </c>
      <c r="E19">
        <v>62</v>
      </c>
      <c r="F19" t="s">
        <v>9</v>
      </c>
      <c r="G19" t="s">
        <v>14</v>
      </c>
      <c r="H19" cm="1">
        <f t="array" ref="H19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4</v>
      </c>
      <c r="I19" t="str">
        <f>IF(ISNUMBER(SEARCH("SSS",Tabel1[[#This Row],[port_type]])),"15","18")</f>
        <v>18</v>
      </c>
    </row>
    <row r="20" spans="1:9" x14ac:dyDescent="0.35">
      <c r="A20" t="s">
        <v>51</v>
      </c>
      <c r="B20" t="s">
        <v>52</v>
      </c>
      <c r="C20">
        <v>350</v>
      </c>
      <c r="D20">
        <v>0</v>
      </c>
      <c r="E20">
        <v>62</v>
      </c>
      <c r="F20" t="s">
        <v>9</v>
      </c>
      <c r="G20" t="s">
        <v>14</v>
      </c>
      <c r="H20" cm="1">
        <f t="array" ref="H20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4</v>
      </c>
      <c r="I20" t="str">
        <f>IF(ISNUMBER(SEARCH("SSS",Tabel1[[#This Row],[port_type]])),"15","18")</f>
        <v>18</v>
      </c>
    </row>
    <row r="21" spans="1:9" x14ac:dyDescent="0.35">
      <c r="A21" t="s">
        <v>111</v>
      </c>
      <c r="B21" t="s">
        <v>112</v>
      </c>
      <c r="C21">
        <v>700</v>
      </c>
      <c r="D21">
        <v>0</v>
      </c>
      <c r="E21">
        <v>42</v>
      </c>
      <c r="F21" t="s">
        <v>13</v>
      </c>
      <c r="G21" t="s">
        <v>17</v>
      </c>
      <c r="H21" cm="1">
        <f t="array" ref="H21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4</v>
      </c>
      <c r="I21" t="str">
        <f>IF(ISNUMBER(SEARCH("SSS",Tabel1[[#This Row],[port_type]])),"15","18")</f>
        <v>18</v>
      </c>
    </row>
    <row r="22" spans="1:9" x14ac:dyDescent="0.35">
      <c r="A22" t="s">
        <v>129</v>
      </c>
      <c r="B22" t="s">
        <v>130</v>
      </c>
      <c r="C22">
        <v>325</v>
      </c>
      <c r="D22">
        <v>0</v>
      </c>
      <c r="E22">
        <v>62</v>
      </c>
      <c r="F22" t="s">
        <v>13</v>
      </c>
      <c r="G22" t="s">
        <v>14</v>
      </c>
      <c r="H22" cm="1">
        <f t="array" ref="H22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4</v>
      </c>
      <c r="I22" t="str">
        <f>IF(ISNUMBER(SEARCH("SSS",Tabel1[[#This Row],[port_type]])),"15","18")</f>
        <v>18</v>
      </c>
    </row>
    <row r="23" spans="1:9" x14ac:dyDescent="0.35">
      <c r="A23" t="s">
        <v>49</v>
      </c>
      <c r="B23" t="s">
        <v>50</v>
      </c>
      <c r="C23">
        <v>350</v>
      </c>
      <c r="D23">
        <v>0</v>
      </c>
      <c r="E23">
        <v>62</v>
      </c>
      <c r="F23" t="s">
        <v>13</v>
      </c>
      <c r="G23" t="s">
        <v>14</v>
      </c>
      <c r="H23" cm="1">
        <f t="array" ref="H23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4</v>
      </c>
      <c r="I23" t="str">
        <f>IF(ISNUMBER(SEARCH("SSS",Tabel1[[#This Row],[port_type]])),"15","18")</f>
        <v>18</v>
      </c>
    </row>
    <row r="24" spans="1:9" x14ac:dyDescent="0.35">
      <c r="A24" t="s">
        <v>127</v>
      </c>
      <c r="B24" t="s">
        <v>128</v>
      </c>
      <c r="C24">
        <v>600</v>
      </c>
      <c r="D24">
        <v>0</v>
      </c>
      <c r="E24">
        <v>57</v>
      </c>
      <c r="F24" t="s">
        <v>9</v>
      </c>
      <c r="G24" t="s">
        <v>17</v>
      </c>
      <c r="H24" cm="1">
        <f t="array" ref="H24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3</v>
      </c>
      <c r="I24" t="str">
        <f>IF(ISNUMBER(SEARCH("SSS",Tabel1[[#This Row],[port_type]])),"15","18")</f>
        <v>18</v>
      </c>
    </row>
    <row r="25" spans="1:9" x14ac:dyDescent="0.35">
      <c r="A25" t="s">
        <v>113</v>
      </c>
      <c r="B25" t="s">
        <v>114</v>
      </c>
      <c r="C25">
        <v>240</v>
      </c>
      <c r="D25">
        <v>0</v>
      </c>
      <c r="E25">
        <v>72</v>
      </c>
      <c r="F25" t="s">
        <v>9</v>
      </c>
      <c r="G25" t="s">
        <v>14</v>
      </c>
      <c r="H25" cm="1">
        <f t="array" ref="H25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3</v>
      </c>
      <c r="I25" t="str">
        <f>IF(ISNUMBER(SEARCH("SSS",Tabel1[[#This Row],[port_type]])),"15","18")</f>
        <v>18</v>
      </c>
    </row>
    <row r="26" spans="1:9" x14ac:dyDescent="0.35">
      <c r="A26" t="s">
        <v>15</v>
      </c>
      <c r="B26" t="s">
        <v>16</v>
      </c>
      <c r="C26">
        <v>600</v>
      </c>
      <c r="D26">
        <v>0</v>
      </c>
      <c r="E26">
        <v>57</v>
      </c>
      <c r="F26" t="s">
        <v>13</v>
      </c>
      <c r="G26" t="s">
        <v>17</v>
      </c>
      <c r="H26" cm="1">
        <f t="array" ref="H26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3</v>
      </c>
      <c r="I26" t="str">
        <f>IF(ISNUMBER(SEARCH("SSS",Tabel1[[#This Row],[port_type]])),"15","18")</f>
        <v>18</v>
      </c>
    </row>
    <row r="27" spans="1:9" x14ac:dyDescent="0.35">
      <c r="A27" t="s">
        <v>11</v>
      </c>
      <c r="B27" t="s">
        <v>12</v>
      </c>
      <c r="C27">
        <v>240</v>
      </c>
      <c r="D27">
        <v>0</v>
      </c>
      <c r="E27">
        <v>72</v>
      </c>
      <c r="F27" t="s">
        <v>13</v>
      </c>
      <c r="G27" t="s">
        <v>14</v>
      </c>
      <c r="H27" cm="1">
        <f t="array" ref="H27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3</v>
      </c>
      <c r="I27" t="str">
        <f>IF(ISNUMBER(SEARCH("SSS",Tabel1[[#This Row],[port_type]])),"15","18")</f>
        <v>18</v>
      </c>
    </row>
    <row r="28" spans="1:9" x14ac:dyDescent="0.35">
      <c r="A28" t="s">
        <v>125</v>
      </c>
      <c r="B28" t="s">
        <v>126</v>
      </c>
      <c r="C28">
        <v>600</v>
      </c>
      <c r="D28">
        <v>0</v>
      </c>
      <c r="E28">
        <v>57</v>
      </c>
      <c r="F28" t="s">
        <v>13</v>
      </c>
      <c r="G28" t="s">
        <v>17</v>
      </c>
      <c r="H28" cm="1">
        <f t="array" ref="H28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3</v>
      </c>
      <c r="I28" t="str">
        <f>IF(ISNUMBER(SEARCH("SSS",Tabel1[[#This Row],[port_type]])),"15","18")</f>
        <v>18</v>
      </c>
    </row>
    <row r="29" spans="1:9" x14ac:dyDescent="0.35">
      <c r="A29" t="s">
        <v>18</v>
      </c>
      <c r="B29" t="s">
        <v>19</v>
      </c>
      <c r="C29">
        <v>240</v>
      </c>
      <c r="D29">
        <v>0</v>
      </c>
      <c r="E29">
        <v>72</v>
      </c>
      <c r="F29" t="s">
        <v>13</v>
      </c>
      <c r="G29" t="s">
        <v>14</v>
      </c>
      <c r="H29" cm="1">
        <f t="array" ref="H29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3</v>
      </c>
      <c r="I29" t="str">
        <f>IF(ISNUMBER(SEARCH("SSS",Tabel1[[#This Row],[port_type]])),"15","18")</f>
        <v>18</v>
      </c>
    </row>
    <row r="30" spans="1:9" x14ac:dyDescent="0.35">
      <c r="A30" t="s">
        <v>45</v>
      </c>
      <c r="B30" t="s">
        <v>46</v>
      </c>
      <c r="C30">
        <v>800</v>
      </c>
      <c r="D30">
        <v>0</v>
      </c>
      <c r="E30">
        <v>40</v>
      </c>
      <c r="F30" t="s">
        <v>13</v>
      </c>
      <c r="G30" t="s">
        <v>26</v>
      </c>
      <c r="H30" cm="1">
        <f t="array" ref="H30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30" t="str">
        <f>IF(ISNUMBER(SEARCH("SSS",Tabel1[[#This Row],[port_type]])),"15","18")</f>
        <v>18</v>
      </c>
    </row>
    <row r="31" spans="1:9" x14ac:dyDescent="0.35">
      <c r="A31" t="s">
        <v>43</v>
      </c>
      <c r="B31" t="s">
        <v>44</v>
      </c>
      <c r="C31">
        <v>400</v>
      </c>
      <c r="D31">
        <v>0</v>
      </c>
      <c r="E31">
        <v>62</v>
      </c>
      <c r="F31" t="s">
        <v>13</v>
      </c>
      <c r="G31" t="s">
        <v>17</v>
      </c>
      <c r="H31" cm="1">
        <f t="array" ref="H31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31" t="str">
        <f>IF(ISNUMBER(SEARCH("SSS",Tabel1[[#This Row],[port_type]])),"15","18")</f>
        <v>18</v>
      </c>
    </row>
    <row r="32" spans="1:9" x14ac:dyDescent="0.35">
      <c r="A32" t="s">
        <v>37</v>
      </c>
      <c r="B32" t="s">
        <v>38</v>
      </c>
      <c r="C32">
        <v>600</v>
      </c>
      <c r="D32">
        <v>0</v>
      </c>
      <c r="E32">
        <v>57</v>
      </c>
      <c r="F32" t="s">
        <v>9</v>
      </c>
      <c r="G32" t="s">
        <v>17</v>
      </c>
      <c r="H32" cm="1">
        <f t="array" ref="H32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32" t="str">
        <f>IF(ISNUMBER(SEARCH("SSS",Tabel1[[#This Row],[port_type]])),"15","18")</f>
        <v>18</v>
      </c>
    </row>
    <row r="33" spans="1:9" x14ac:dyDescent="0.35">
      <c r="A33" t="s">
        <v>35</v>
      </c>
      <c r="B33" t="s">
        <v>36</v>
      </c>
      <c r="C33">
        <v>620</v>
      </c>
      <c r="D33">
        <v>0</v>
      </c>
      <c r="E33">
        <v>40</v>
      </c>
      <c r="F33" t="s">
        <v>9</v>
      </c>
      <c r="G33" t="s">
        <v>17</v>
      </c>
      <c r="H33" cm="1">
        <f t="array" ref="H33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33" t="str">
        <f>IF(ISNUMBER(SEARCH("SSS",Tabel1[[#This Row],[port_type]])),"15","18")</f>
        <v>18</v>
      </c>
    </row>
    <row r="34" spans="1:9" x14ac:dyDescent="0.35">
      <c r="A34" t="s">
        <v>135</v>
      </c>
      <c r="B34" t="s">
        <v>136</v>
      </c>
      <c r="C34">
        <v>850</v>
      </c>
      <c r="D34">
        <v>0</v>
      </c>
      <c r="E34">
        <v>40</v>
      </c>
      <c r="F34" t="s">
        <v>9</v>
      </c>
      <c r="G34" t="s">
        <v>26</v>
      </c>
      <c r="H34" cm="1">
        <f t="array" ref="H34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34" t="str">
        <f>IF(ISNUMBER(SEARCH("SSS",Tabel1[[#This Row],[port_type]])),"15","18")</f>
        <v>18</v>
      </c>
    </row>
    <row r="35" spans="1:9" x14ac:dyDescent="0.35">
      <c r="A35" t="s">
        <v>39</v>
      </c>
      <c r="B35" t="s">
        <v>40</v>
      </c>
      <c r="C35">
        <v>885</v>
      </c>
      <c r="D35">
        <v>0</v>
      </c>
      <c r="E35">
        <v>38</v>
      </c>
      <c r="F35" t="s">
        <v>9</v>
      </c>
      <c r="G35" t="s">
        <v>26</v>
      </c>
      <c r="H35" cm="1">
        <f t="array" ref="H35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35" t="str">
        <f>IF(ISNUMBER(SEARCH("SSS",Tabel1[[#This Row],[port_type]])),"15","18")</f>
        <v>18</v>
      </c>
    </row>
    <row r="36" spans="1:9" x14ac:dyDescent="0.35">
      <c r="A36" t="s">
        <v>33</v>
      </c>
      <c r="B36" t="s">
        <v>34</v>
      </c>
      <c r="C36">
        <v>170</v>
      </c>
      <c r="D36">
        <v>0</v>
      </c>
      <c r="E36">
        <v>72</v>
      </c>
      <c r="F36" t="s">
        <v>9</v>
      </c>
      <c r="G36" t="s">
        <v>14</v>
      </c>
      <c r="H36" cm="1">
        <f t="array" ref="H36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36" t="str">
        <f>IF(ISNUMBER(SEARCH("SSS",Tabel1[[#This Row],[port_type]])),"15","18")</f>
        <v>18</v>
      </c>
    </row>
    <row r="37" spans="1:9" x14ac:dyDescent="0.35">
      <c r="A37" t="s">
        <v>107</v>
      </c>
      <c r="B37" t="s">
        <v>108</v>
      </c>
      <c r="C37">
        <v>240</v>
      </c>
      <c r="D37">
        <v>0</v>
      </c>
      <c r="E37">
        <v>70</v>
      </c>
      <c r="F37" t="s">
        <v>9</v>
      </c>
      <c r="G37" t="s">
        <v>14</v>
      </c>
      <c r="H37" cm="1">
        <f t="array" ref="H37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37" t="str">
        <f>IF(ISNUMBER(SEARCH("SSS",Tabel1[[#This Row],[port_type]])),"15","18")</f>
        <v>18</v>
      </c>
    </row>
    <row r="38" spans="1:9" x14ac:dyDescent="0.35">
      <c r="A38" t="s">
        <v>133</v>
      </c>
      <c r="B38" t="s">
        <v>134</v>
      </c>
      <c r="C38">
        <v>600</v>
      </c>
      <c r="D38">
        <v>0</v>
      </c>
      <c r="E38">
        <v>57</v>
      </c>
      <c r="F38" t="s">
        <v>13</v>
      </c>
      <c r="G38" t="s">
        <v>17</v>
      </c>
      <c r="H38" cm="1">
        <f t="array" ref="H38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38" t="str">
        <f>IF(ISNUMBER(SEARCH("SSS",Tabel1[[#This Row],[port_type]])),"15","18")</f>
        <v>18</v>
      </c>
    </row>
    <row r="39" spans="1:9" x14ac:dyDescent="0.35">
      <c r="A39" t="s">
        <v>41</v>
      </c>
      <c r="B39" t="s">
        <v>42</v>
      </c>
      <c r="C39">
        <v>160</v>
      </c>
      <c r="D39">
        <v>0</v>
      </c>
      <c r="E39">
        <v>72</v>
      </c>
      <c r="F39" t="s">
        <v>13</v>
      </c>
      <c r="G39" t="s">
        <v>14</v>
      </c>
      <c r="H39" cm="1">
        <f t="array" ref="H39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39" t="str">
        <f>IF(ISNUMBER(SEARCH("SSS",Tabel1[[#This Row],[port_type]])),"15","18")</f>
        <v>18</v>
      </c>
    </row>
    <row r="40" spans="1:9" x14ac:dyDescent="0.35">
      <c r="A40" t="s">
        <v>105</v>
      </c>
      <c r="B40" t="s">
        <v>106</v>
      </c>
      <c r="C40">
        <v>600</v>
      </c>
      <c r="D40">
        <v>0</v>
      </c>
      <c r="E40">
        <v>57</v>
      </c>
      <c r="F40" t="s">
        <v>13</v>
      </c>
      <c r="G40" t="s">
        <v>17</v>
      </c>
      <c r="H40" cm="1">
        <f t="array" ref="H40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40" t="str">
        <f>IF(ISNUMBER(SEARCH("SSS",Tabel1[[#This Row],[port_type]])),"15","18")</f>
        <v>18</v>
      </c>
    </row>
    <row r="41" spans="1:9" x14ac:dyDescent="0.35">
      <c r="A41" t="s">
        <v>22</v>
      </c>
      <c r="B41" t="s">
        <v>23</v>
      </c>
      <c r="C41">
        <v>620</v>
      </c>
      <c r="D41">
        <v>0</v>
      </c>
      <c r="E41">
        <v>40</v>
      </c>
      <c r="F41" t="s">
        <v>13</v>
      </c>
      <c r="G41" t="s">
        <v>17</v>
      </c>
      <c r="H41" cm="1">
        <f t="array" ref="H41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41" t="str">
        <f>IF(ISNUMBER(SEARCH("SSS",Tabel1[[#This Row],[port_type]])),"15","18")</f>
        <v>18</v>
      </c>
    </row>
    <row r="42" spans="1:9" x14ac:dyDescent="0.35">
      <c r="A42" t="s">
        <v>109</v>
      </c>
      <c r="B42" t="s">
        <v>110</v>
      </c>
      <c r="C42">
        <v>850</v>
      </c>
      <c r="D42">
        <v>0</v>
      </c>
      <c r="E42">
        <v>40</v>
      </c>
      <c r="F42" t="s">
        <v>13</v>
      </c>
      <c r="G42" t="s">
        <v>26</v>
      </c>
      <c r="H42" cm="1">
        <f t="array" ref="H42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42" t="str">
        <f>IF(ISNUMBER(SEARCH("SSS",Tabel1[[#This Row],[port_type]])),"15","18")</f>
        <v>18</v>
      </c>
    </row>
    <row r="43" spans="1:9" x14ac:dyDescent="0.35">
      <c r="A43" t="s">
        <v>24</v>
      </c>
      <c r="B43" t="s">
        <v>25</v>
      </c>
      <c r="C43">
        <v>885</v>
      </c>
      <c r="D43">
        <v>0</v>
      </c>
      <c r="E43">
        <v>38</v>
      </c>
      <c r="F43" t="s">
        <v>13</v>
      </c>
      <c r="G43" t="s">
        <v>26</v>
      </c>
      <c r="H43" cm="1">
        <f t="array" ref="H43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43" t="str">
        <f>IF(ISNUMBER(SEARCH("SSS",Tabel1[[#This Row],[port_type]])),"15","18")</f>
        <v>18</v>
      </c>
    </row>
    <row r="44" spans="1:9" x14ac:dyDescent="0.35">
      <c r="A44" t="s">
        <v>20</v>
      </c>
      <c r="B44" t="s">
        <v>21</v>
      </c>
      <c r="C44">
        <v>240</v>
      </c>
      <c r="D44">
        <v>0</v>
      </c>
      <c r="E44">
        <v>63</v>
      </c>
      <c r="F44" t="s">
        <v>13</v>
      </c>
      <c r="G44" t="s">
        <v>14</v>
      </c>
      <c r="H44" cm="1">
        <f t="array" ref="H44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44" t="str">
        <f>IF(ISNUMBER(SEARCH("SSS",Tabel1[[#This Row],[port_type]])),"15","18")</f>
        <v>18</v>
      </c>
    </row>
    <row r="45" spans="1:9" x14ac:dyDescent="0.35">
      <c r="A45" t="s">
        <v>29</v>
      </c>
      <c r="B45" t="s">
        <v>30</v>
      </c>
      <c r="C45">
        <v>600</v>
      </c>
      <c r="D45">
        <v>0</v>
      </c>
      <c r="E45">
        <v>57</v>
      </c>
      <c r="F45" t="s">
        <v>13</v>
      </c>
      <c r="G45" t="s">
        <v>17</v>
      </c>
      <c r="H45" cm="1">
        <f t="array" ref="H45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45" t="str">
        <f>IF(ISNUMBER(SEARCH("SSS",Tabel1[[#This Row],[port_type]])),"15","18")</f>
        <v>18</v>
      </c>
    </row>
    <row r="46" spans="1:9" x14ac:dyDescent="0.35">
      <c r="A46" t="s">
        <v>27</v>
      </c>
      <c r="B46" t="s">
        <v>28</v>
      </c>
      <c r="C46">
        <v>620</v>
      </c>
      <c r="D46">
        <v>0</v>
      </c>
      <c r="E46">
        <v>54</v>
      </c>
      <c r="F46" t="s">
        <v>13</v>
      </c>
      <c r="G46" t="s">
        <v>17</v>
      </c>
      <c r="H46" cm="1">
        <f t="array" ref="H46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46" t="str">
        <f>IF(ISNUMBER(SEARCH("SSS",Tabel1[[#This Row],[port_type]])),"15","18")</f>
        <v>18</v>
      </c>
    </row>
    <row r="47" spans="1:9" x14ac:dyDescent="0.35">
      <c r="A47" t="s">
        <v>103</v>
      </c>
      <c r="B47" t="s">
        <v>104</v>
      </c>
      <c r="C47">
        <v>850</v>
      </c>
      <c r="D47">
        <v>0</v>
      </c>
      <c r="E47">
        <v>40</v>
      </c>
      <c r="F47" t="s">
        <v>13</v>
      </c>
      <c r="G47" t="s">
        <v>26</v>
      </c>
      <c r="H47" cm="1">
        <f t="array" ref="H47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47" t="str">
        <f>IF(ISNUMBER(SEARCH("SSS",Tabel1[[#This Row],[port_type]])),"15","18")</f>
        <v>18</v>
      </c>
    </row>
    <row r="48" spans="1:9" x14ac:dyDescent="0.35">
      <c r="A48" t="s">
        <v>31</v>
      </c>
      <c r="B48" t="s">
        <v>32</v>
      </c>
      <c r="C48">
        <v>885</v>
      </c>
      <c r="D48">
        <v>0</v>
      </c>
      <c r="E48">
        <v>38</v>
      </c>
      <c r="F48" t="s">
        <v>13</v>
      </c>
      <c r="G48" t="s">
        <v>26</v>
      </c>
      <c r="H48" cm="1">
        <f t="array" ref="H48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48" t="str">
        <f>IF(ISNUMBER(SEARCH("SSS",Tabel1[[#This Row],[port_type]])),"15","18")</f>
        <v>18</v>
      </c>
    </row>
    <row r="49" spans="1:9" x14ac:dyDescent="0.35">
      <c r="A49" t="s">
        <v>117</v>
      </c>
      <c r="B49" t="s">
        <v>118</v>
      </c>
      <c r="C49">
        <v>170</v>
      </c>
      <c r="D49">
        <v>0</v>
      </c>
      <c r="E49">
        <v>72</v>
      </c>
      <c r="F49" t="s">
        <v>13</v>
      </c>
      <c r="G49" t="s">
        <v>14</v>
      </c>
      <c r="H49" cm="1">
        <f t="array" ref="H49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49" t="str">
        <f>IF(ISNUMBER(SEARCH("SSS",Tabel1[[#This Row],[port_type]])),"15","18")</f>
        <v>18</v>
      </c>
    </row>
    <row r="50" spans="1:9" x14ac:dyDescent="0.35">
      <c r="A50" t="s">
        <v>131</v>
      </c>
      <c r="B50" t="s">
        <v>132</v>
      </c>
      <c r="C50">
        <v>240</v>
      </c>
      <c r="D50">
        <v>0</v>
      </c>
      <c r="E50">
        <v>63</v>
      </c>
      <c r="F50" t="s">
        <v>13</v>
      </c>
      <c r="G50" t="s">
        <v>14</v>
      </c>
      <c r="H50" cm="1">
        <f t="array" ref="H50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2</v>
      </c>
      <c r="I50" t="str">
        <f>IF(ISNUMBER(SEARCH("SSS",Tabel1[[#This Row],[port_type]])),"15","18")</f>
        <v>18</v>
      </c>
    </row>
    <row r="51" spans="1:9" x14ac:dyDescent="0.35">
      <c r="A51" t="s">
        <v>59</v>
      </c>
      <c r="B51" t="s">
        <v>60</v>
      </c>
      <c r="C51">
        <v>86</v>
      </c>
      <c r="D51">
        <v>0</v>
      </c>
      <c r="E51">
        <v>75</v>
      </c>
      <c r="F51" t="s">
        <v>13</v>
      </c>
      <c r="G51" t="s">
        <v>14</v>
      </c>
      <c r="H51" cm="1">
        <f t="array" ref="H51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51" t="str">
        <f>IF(ISNUMBER(SEARCH("SSS",Tabel1[[#This Row],[port_type]])),"15","18")</f>
        <v>18</v>
      </c>
    </row>
    <row r="52" spans="1:9" x14ac:dyDescent="0.35">
      <c r="A52" t="s">
        <v>97</v>
      </c>
      <c r="B52" t="s">
        <v>98</v>
      </c>
      <c r="C52">
        <v>400</v>
      </c>
      <c r="D52">
        <v>0</v>
      </c>
      <c r="E52">
        <v>62</v>
      </c>
      <c r="F52" t="s">
        <v>9</v>
      </c>
      <c r="G52" t="s">
        <v>17</v>
      </c>
      <c r="H52" cm="1">
        <f t="array" ref="H52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52" t="str">
        <f>IF(ISNUMBER(SEARCH("SSS",Tabel1[[#This Row],[port_type]])),"15","18")</f>
        <v>18</v>
      </c>
    </row>
    <row r="53" spans="1:9" x14ac:dyDescent="0.35">
      <c r="A53" t="s">
        <v>81</v>
      </c>
      <c r="B53" t="s">
        <v>82</v>
      </c>
      <c r="C53">
        <v>200</v>
      </c>
      <c r="D53">
        <v>0</v>
      </c>
      <c r="E53">
        <v>72</v>
      </c>
      <c r="F53" t="s">
        <v>9</v>
      </c>
      <c r="G53" t="s">
        <v>14</v>
      </c>
      <c r="H53" cm="1">
        <f t="array" ref="H53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53" t="str">
        <f>IF(ISNUMBER(SEARCH("SSS",Tabel1[[#This Row],[port_type]])),"15","18")</f>
        <v>18</v>
      </c>
    </row>
    <row r="54" spans="1:9" x14ac:dyDescent="0.35">
      <c r="A54" t="s">
        <v>57</v>
      </c>
      <c r="B54" t="s">
        <v>58</v>
      </c>
      <c r="C54">
        <v>46</v>
      </c>
      <c r="D54">
        <v>0</v>
      </c>
      <c r="E54">
        <v>75</v>
      </c>
      <c r="F54" t="s">
        <v>9</v>
      </c>
      <c r="G54" t="s">
        <v>14</v>
      </c>
      <c r="H54" cm="1">
        <f t="array" ref="H54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54" t="str">
        <f>IF(ISNUMBER(SEARCH("SSS",Tabel1[[#This Row],[port_type]])),"15","18")</f>
        <v>18</v>
      </c>
    </row>
    <row r="55" spans="1:9" x14ac:dyDescent="0.35">
      <c r="A55" t="s">
        <v>79</v>
      </c>
      <c r="B55" t="s">
        <v>80</v>
      </c>
      <c r="C55">
        <v>360</v>
      </c>
      <c r="D55">
        <v>0</v>
      </c>
      <c r="E55">
        <v>62</v>
      </c>
      <c r="F55" t="s">
        <v>9</v>
      </c>
      <c r="G55" t="s">
        <v>14</v>
      </c>
      <c r="H55" cm="1">
        <f t="array" ref="H55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55" t="str">
        <f>IF(ISNUMBER(SEARCH("SSS",Tabel1[[#This Row],[port_type]])),"15","18")</f>
        <v>18</v>
      </c>
    </row>
    <row r="56" spans="1:9" x14ac:dyDescent="0.35">
      <c r="A56" t="s">
        <v>63</v>
      </c>
      <c r="B56" t="s">
        <v>64</v>
      </c>
      <c r="C56">
        <v>400</v>
      </c>
      <c r="D56">
        <v>0</v>
      </c>
      <c r="E56">
        <v>62</v>
      </c>
      <c r="F56" t="s">
        <v>9</v>
      </c>
      <c r="G56" t="s">
        <v>17</v>
      </c>
      <c r="H56" cm="1">
        <f t="array" ref="H56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56" t="str">
        <f>IF(ISNUMBER(SEARCH("SSS",Tabel1[[#This Row],[port_type]])),"15","18")</f>
        <v>18</v>
      </c>
    </row>
    <row r="57" spans="1:9" x14ac:dyDescent="0.35">
      <c r="A57" t="s">
        <v>77</v>
      </c>
      <c r="B57" t="s">
        <v>78</v>
      </c>
      <c r="C57">
        <v>180</v>
      </c>
      <c r="D57">
        <v>0</v>
      </c>
      <c r="E57">
        <v>72</v>
      </c>
      <c r="F57" t="s">
        <v>9</v>
      </c>
      <c r="G57" t="s">
        <v>14</v>
      </c>
      <c r="H57" cm="1">
        <f t="array" ref="H57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57" t="str">
        <f>IF(ISNUMBER(SEARCH("SSS",Tabel1[[#This Row],[port_type]])),"15","18")</f>
        <v>18</v>
      </c>
    </row>
    <row r="58" spans="1:9" x14ac:dyDescent="0.35">
      <c r="A58" t="s">
        <v>61</v>
      </c>
      <c r="B58" t="s">
        <v>62</v>
      </c>
      <c r="C58">
        <v>200</v>
      </c>
      <c r="D58">
        <v>0</v>
      </c>
      <c r="E58">
        <v>72</v>
      </c>
      <c r="F58" t="s">
        <v>9</v>
      </c>
      <c r="G58" t="s">
        <v>14</v>
      </c>
      <c r="H58" cm="1">
        <f t="array" ref="H58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58" t="str">
        <f>IF(ISNUMBER(SEARCH("SSS",Tabel1[[#This Row],[port_type]])),"15","18")</f>
        <v>18</v>
      </c>
    </row>
    <row r="59" spans="1:9" x14ac:dyDescent="0.35">
      <c r="A59" t="s">
        <v>69</v>
      </c>
      <c r="B59" t="s">
        <v>70</v>
      </c>
      <c r="C59">
        <v>200</v>
      </c>
      <c r="D59">
        <v>0</v>
      </c>
      <c r="E59">
        <v>72</v>
      </c>
      <c r="F59" t="s">
        <v>13</v>
      </c>
      <c r="G59" t="s">
        <v>14</v>
      </c>
      <c r="H59" cm="1">
        <f t="array" ref="H59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59" t="str">
        <f>IF(ISNUMBER(SEARCH("SSS",Tabel1[[#This Row],[port_type]])),"15","18")</f>
        <v>18</v>
      </c>
    </row>
    <row r="60" spans="1:9" x14ac:dyDescent="0.35">
      <c r="A60" t="s">
        <v>67</v>
      </c>
      <c r="B60" t="s">
        <v>68</v>
      </c>
      <c r="C60">
        <v>400</v>
      </c>
      <c r="D60">
        <v>0</v>
      </c>
      <c r="E60">
        <v>62</v>
      </c>
      <c r="F60" t="s">
        <v>13</v>
      </c>
      <c r="G60" t="s">
        <v>17</v>
      </c>
      <c r="H60" cm="1">
        <f t="array" ref="H60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60" t="str">
        <f>IF(ISNUMBER(SEARCH("SSS",Tabel1[[#This Row],[port_type]])),"15","18")</f>
        <v>18</v>
      </c>
    </row>
    <row r="61" spans="1:9" x14ac:dyDescent="0.35">
      <c r="A61" t="s">
        <v>65</v>
      </c>
      <c r="B61" t="s">
        <v>66</v>
      </c>
      <c r="C61">
        <v>200</v>
      </c>
      <c r="D61">
        <v>0</v>
      </c>
      <c r="E61">
        <v>72</v>
      </c>
      <c r="F61" t="s">
        <v>13</v>
      </c>
      <c r="G61" t="s">
        <v>14</v>
      </c>
      <c r="H61" cm="1">
        <f t="array" ref="H61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61" t="str">
        <f>IF(ISNUMBER(SEARCH("SSS",Tabel1[[#This Row],[port_type]])),"15","18")</f>
        <v>18</v>
      </c>
    </row>
    <row r="62" spans="1:9" x14ac:dyDescent="0.35">
      <c r="A62" t="s">
        <v>71</v>
      </c>
      <c r="B62" t="s">
        <v>72</v>
      </c>
      <c r="C62">
        <v>200</v>
      </c>
      <c r="D62">
        <v>0</v>
      </c>
      <c r="E62">
        <v>72</v>
      </c>
      <c r="F62" t="s">
        <v>13</v>
      </c>
      <c r="G62" t="s">
        <v>14</v>
      </c>
      <c r="H62" cm="1">
        <f t="array" ref="H62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62" t="str">
        <f>IF(ISNUMBER(SEARCH("SSS",Tabel1[[#This Row],[port_type]])),"15","18")</f>
        <v>18</v>
      </c>
    </row>
    <row r="63" spans="1:9" x14ac:dyDescent="0.35">
      <c r="A63" t="s">
        <v>73</v>
      </c>
      <c r="B63" t="s">
        <v>74</v>
      </c>
      <c r="C63">
        <v>400</v>
      </c>
      <c r="D63">
        <v>0</v>
      </c>
      <c r="E63">
        <v>62</v>
      </c>
      <c r="F63" t="s">
        <v>13</v>
      </c>
      <c r="G63" t="s">
        <v>17</v>
      </c>
      <c r="H63" cm="1">
        <f t="array" ref="H63">_xlfn.IFS(ISNUMBER(SEARCH("ANM", Tabel1[[#This Row],[ItemName]])), 1, ISNUMBER(SEARCH("gold", Tabel1[[#This Row],[ItemName]])), 2, ISNUMBER(SEARCH("act", Tabel1[[#This Row],[ItemName]])), 3, ISNUMBER(SEARCH("boneeto", Tabel1[[#This Row],[ItemName]])), 4, TRUE, 1)</f>
        <v>1</v>
      </c>
      <c r="I63" t="str">
        <f>IF(ISNUMBER(SEARCH("SSS",Tabel1[[#This Row],[port_type]])),"15","18")</f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Novita Assyila Awalia</dc:creator>
  <cp:lastModifiedBy>Novita Assyila Awalia</cp:lastModifiedBy>
  <dcterms:created xsi:type="dcterms:W3CDTF">2026-05-25T06:51:53Z</dcterms:created>
  <dcterms:modified xsi:type="dcterms:W3CDTF">2026-06-03T17:43:46Z</dcterms:modified>
</cp:coreProperties>
</file>